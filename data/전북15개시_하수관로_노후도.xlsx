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mhw\Documents\카카오톡 받은 파일\"/>
    </mc:Choice>
  </mc:AlternateContent>
  <xr:revisionPtr revIDLastSave="0" documentId="11_4900B4BD9BC59E50159A0720905D0C9F6E11BA18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연도별_순계(m)" sheetId="1" r:id="rId1"/>
    <sheet name="노후도_요약" sheetId="2" r:id="rId2"/>
    <sheet name="road_name_매핑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2" l="1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C5" i="2"/>
  <c r="D5" i="2" s="1"/>
  <c r="B5" i="2"/>
  <c r="F37" i="1"/>
  <c r="E37" i="1"/>
  <c r="D37" i="1"/>
  <c r="C37" i="1"/>
  <c r="B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<sst xmlns="http://schemas.openxmlformats.org/spreadsheetml/2006/main" count="69" uniqueCount="59">
  <si>
    <r>
      <rPr>
        <b/>
        <sz val="13"/>
        <rFont val="Noto Sans CJK SC"/>
        <family val="2"/>
      </rPr>
      <t xml:space="preserve">전북 </t>
    </r>
    <r>
      <rPr>
        <b/>
        <sz val="13"/>
        <rFont val="Arial"/>
        <family val="2"/>
      </rPr>
      <t>5</t>
    </r>
    <r>
      <rPr>
        <b/>
        <sz val="13"/>
        <rFont val="Noto Sans CJK SC"/>
        <family val="2"/>
      </rPr>
      <t>개시 하수관로 연도별 순계</t>
    </r>
    <r>
      <rPr>
        <b/>
        <sz val="13"/>
        <rFont val="Arial"/>
        <family val="2"/>
      </rPr>
      <t>(</t>
    </r>
    <r>
      <rPr>
        <b/>
        <sz val="13"/>
        <rFont val="Noto Sans CJK SC"/>
        <family val="2"/>
      </rPr>
      <t>설치연장</t>
    </r>
    <r>
      <rPr>
        <b/>
        <sz val="13"/>
        <rFont val="Arial"/>
        <family val="2"/>
      </rPr>
      <t>-</t>
    </r>
    <r>
      <rPr>
        <b/>
        <sz val="13"/>
        <rFont val="Noto Sans CJK SC"/>
        <family val="2"/>
      </rPr>
      <t>철거연장</t>
    </r>
    <r>
      <rPr>
        <b/>
        <sz val="13"/>
        <rFont val="Arial"/>
        <family val="2"/>
      </rPr>
      <t>, m)</t>
    </r>
  </si>
  <si>
    <r>
      <rPr>
        <i/>
        <sz val="9"/>
        <color rgb="FF808080"/>
        <rFont val="Arial"/>
        <family val="2"/>
      </rPr>
      <t>Source: 2025</t>
    </r>
    <r>
      <rPr>
        <i/>
        <sz val="9"/>
        <color rgb="FF808080"/>
        <rFont val="Noto Sans CJK SC"/>
        <family val="2"/>
      </rPr>
      <t>년판 하수도통계연보</t>
    </r>
    <r>
      <rPr>
        <i/>
        <sz val="9"/>
        <color rgb="FF808080"/>
        <rFont val="Arial"/>
        <family val="2"/>
      </rPr>
      <t xml:space="preserve">, </t>
    </r>
    <r>
      <rPr>
        <i/>
        <sz val="9"/>
        <color rgb="FF808080"/>
        <rFont val="Noto Sans CJK SC"/>
        <family val="2"/>
      </rPr>
      <t xml:space="preserve">시트 </t>
    </r>
    <r>
      <rPr>
        <i/>
        <sz val="9"/>
        <color rgb="FF808080"/>
        <rFont val="Arial"/>
        <family val="2"/>
      </rPr>
      <t xml:space="preserve">"2-3. </t>
    </r>
    <r>
      <rPr>
        <i/>
        <sz val="9"/>
        <color rgb="FF808080"/>
        <rFont val="Noto Sans CJK SC"/>
        <family val="2"/>
      </rPr>
      <t>관종별현황</t>
    </r>
    <r>
      <rPr>
        <i/>
        <sz val="9"/>
        <color rgb="FF808080"/>
        <rFont val="Arial"/>
        <family val="2"/>
      </rPr>
      <t xml:space="preserve">", </t>
    </r>
    <r>
      <rPr>
        <i/>
        <sz val="9"/>
        <color rgb="FF808080"/>
        <rFont val="Noto Sans CJK SC"/>
        <family val="2"/>
      </rPr>
      <t xml:space="preserve">전북특별자치도 </t>
    </r>
    <r>
      <rPr>
        <i/>
        <sz val="9"/>
        <color rgb="FF808080"/>
        <rFont val="Arial"/>
        <family val="2"/>
      </rPr>
      <t xml:space="preserve">&gt; </t>
    </r>
    <r>
      <rPr>
        <i/>
        <sz val="9"/>
        <color rgb="FF808080"/>
        <rFont val="Noto Sans CJK SC"/>
        <family val="2"/>
      </rPr>
      <t xml:space="preserve">시군구 </t>
    </r>
    <r>
      <rPr>
        <i/>
        <sz val="9"/>
        <color rgb="FF808080"/>
        <rFont val="Arial"/>
        <family val="2"/>
      </rPr>
      <t xml:space="preserve">&gt; </t>
    </r>
    <r>
      <rPr>
        <i/>
        <sz val="9"/>
        <color rgb="FF808080"/>
        <rFont val="Noto Sans CJK SC"/>
        <family val="2"/>
      </rPr>
      <t xml:space="preserve">합계 </t>
    </r>
    <r>
      <rPr>
        <i/>
        <sz val="9"/>
        <color rgb="FF808080"/>
        <rFont val="Arial"/>
        <family val="2"/>
      </rPr>
      <t xml:space="preserve">&gt; </t>
    </r>
    <r>
      <rPr>
        <i/>
        <sz val="9"/>
        <color rgb="FF808080"/>
        <rFont val="Noto Sans CJK SC"/>
        <family val="2"/>
      </rPr>
      <t xml:space="preserve">총계 행 기준 </t>
    </r>
    <r>
      <rPr>
        <i/>
        <sz val="9"/>
        <color rgb="FF808080"/>
        <rFont val="Arial"/>
        <family val="2"/>
      </rPr>
      <t>(</t>
    </r>
    <r>
      <rPr>
        <i/>
        <sz val="9"/>
        <color rgb="FF808080"/>
        <rFont val="Noto Sans CJK SC"/>
        <family val="2"/>
      </rPr>
      <t>환경부</t>
    </r>
    <r>
      <rPr>
        <i/>
        <sz val="9"/>
        <color rgb="FF808080"/>
        <rFont val="Arial"/>
        <family val="2"/>
      </rPr>
      <t>·</t>
    </r>
    <r>
      <rPr>
        <i/>
        <sz val="9"/>
        <color rgb="FF808080"/>
        <rFont val="Noto Sans CJK SC"/>
        <family val="2"/>
      </rPr>
      <t>한국환경공단</t>
    </r>
    <r>
      <rPr>
        <i/>
        <sz val="9"/>
        <color rgb="FF808080"/>
        <rFont val="Arial"/>
        <family val="2"/>
      </rPr>
      <t>, hasudoinfo.or.kr)</t>
    </r>
  </si>
  <si>
    <t>설치연도</t>
  </si>
  <si>
    <t>전주시</t>
  </si>
  <si>
    <t>군산시</t>
  </si>
  <si>
    <t>익산시</t>
  </si>
  <si>
    <t>남원시</t>
  </si>
  <si>
    <t>정읍시</t>
  </si>
  <si>
    <r>
      <rPr>
        <b/>
        <sz val="11"/>
        <color rgb="FFFFFFFF"/>
        <rFont val="Arial"/>
        <family val="2"/>
      </rPr>
      <t>5</t>
    </r>
    <r>
      <rPr>
        <b/>
        <sz val="11"/>
        <color rgb="FFFFFFFF"/>
        <rFont val="Noto Sans CJK SC"/>
        <family val="2"/>
      </rPr>
      <t>개시 합계</t>
    </r>
  </si>
  <si>
    <r>
      <rPr>
        <sz val="10"/>
        <rFont val="Arial"/>
        <family val="2"/>
      </rPr>
      <t>1996</t>
    </r>
    <r>
      <rPr>
        <sz val="10"/>
        <rFont val="Noto Sans CJK SC"/>
        <family val="2"/>
      </rPr>
      <t>년이전</t>
    </r>
  </si>
  <si>
    <r>
      <rPr>
        <sz val="10"/>
        <rFont val="Arial"/>
        <family val="2"/>
      </rPr>
      <t>1996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</si>
  <si>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1997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</si>
  <si>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1998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</si>
  <si>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1999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</si>
  <si>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2000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</si>
  <si>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2001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</si>
  <si>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2002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</si>
  <si>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2003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</si>
  <si>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2004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</si>
  <si>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2005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</si>
  <si>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2006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</si>
  <si>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2007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</si>
  <si>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2008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</si>
  <si>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2009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</si>
  <si>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2010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</si>
  <si>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2011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</si>
  <si>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2012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</si>
  <si>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2013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</si>
  <si>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2014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</si>
  <si>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2015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</si>
  <si>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2016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</si>
  <si>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2017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</si>
  <si>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2018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</si>
  <si>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2019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</si>
  <si>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2020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</si>
  <si>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2021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</si>
  <si>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2022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</si>
  <si>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2023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</si>
  <si>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2024</t>
    </r>
    <r>
      <rPr>
        <sz val="10"/>
        <rFont val="Noto Sans CJK SC"/>
        <family val="2"/>
      </rPr>
      <t>년</t>
    </r>
  </si>
  <si>
    <r>
      <rPr>
        <sz val="10"/>
        <rFont val="Arial"/>
        <family val="2"/>
      </rPr>
      <t>2025</t>
    </r>
    <r>
      <rPr>
        <sz val="10"/>
        <rFont val="Noto Sans CJK SC"/>
        <family val="2"/>
      </rPr>
      <t>년</t>
    </r>
  </si>
  <si>
    <r>
      <rPr>
        <b/>
        <sz val="10"/>
        <rFont val="Noto Sans CJK SC"/>
        <family val="2"/>
      </rPr>
      <t>합계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원자료 총계행 기준</t>
    </r>
    <r>
      <rPr>
        <b/>
        <sz val="10"/>
        <rFont val="Arial"/>
        <family val="2"/>
      </rPr>
      <t>)</t>
    </r>
  </si>
  <si>
    <r>
      <rPr>
        <i/>
        <sz val="9"/>
        <color rgb="FF808080"/>
        <rFont val="Noto Sans CJK SC"/>
        <family val="2"/>
      </rPr>
      <t>연도별 합산 검산</t>
    </r>
    <r>
      <rPr>
        <i/>
        <sz val="9"/>
        <color rgb="FF808080"/>
        <rFont val="Arial"/>
        <family val="2"/>
      </rPr>
      <t>(</t>
    </r>
    <r>
      <rPr>
        <i/>
        <sz val="9"/>
        <color rgb="FF808080"/>
        <rFont val="Noto Sans CJK SC"/>
        <family val="2"/>
      </rPr>
      <t>위 표 합계</t>
    </r>
    <r>
      <rPr>
        <i/>
        <sz val="9"/>
        <color rgb="FF808080"/>
        <rFont val="Arial"/>
        <family val="2"/>
      </rPr>
      <t>)</t>
    </r>
  </si>
  <si>
    <r>
      <rPr>
        <i/>
        <sz val="9"/>
        <color rgb="FF808080"/>
        <rFont val="Noto Sans CJK SC"/>
        <family val="2"/>
      </rPr>
      <t xml:space="preserve">※ 두 합계가 다르면 원자료의 </t>
    </r>
    <r>
      <rPr>
        <i/>
        <sz val="9"/>
        <color rgb="FF808080"/>
        <rFont val="Arial"/>
        <family val="2"/>
      </rPr>
      <t>"</t>
    </r>
    <r>
      <rPr>
        <i/>
        <sz val="9"/>
        <color rgb="FF808080"/>
        <rFont val="Noto Sans CJK SC"/>
        <family val="2"/>
      </rPr>
      <t>기타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미상 관종</t>
    </r>
    <r>
      <rPr>
        <i/>
        <sz val="9"/>
        <color rgb="FF808080"/>
        <rFont val="Arial"/>
        <family val="2"/>
      </rPr>
      <t xml:space="preserve">" </t>
    </r>
    <r>
      <rPr>
        <i/>
        <sz val="9"/>
        <color rgb="FF808080"/>
        <rFont val="Noto Sans CJK SC"/>
        <family val="2"/>
      </rPr>
      <t>등 세부 항목 반영 차이 때문이며</t>
    </r>
    <r>
      <rPr>
        <i/>
        <sz val="9"/>
        <color rgb="FF808080"/>
        <rFont val="Arial"/>
        <family val="2"/>
      </rPr>
      <t xml:space="preserve">, </t>
    </r>
    <r>
      <rPr>
        <i/>
        <sz val="9"/>
        <color rgb="FF808080"/>
        <rFont val="Noto Sans CJK SC"/>
        <family val="2"/>
      </rPr>
      <t xml:space="preserve">오차는 대체로 </t>
    </r>
    <r>
      <rPr>
        <i/>
        <sz val="9"/>
        <color rgb="FF808080"/>
        <rFont val="Arial"/>
        <family val="2"/>
      </rPr>
      <t xml:space="preserve">1% </t>
    </r>
    <r>
      <rPr>
        <i/>
        <sz val="9"/>
        <color rgb="FF808080"/>
        <rFont val="Noto Sans CJK SC"/>
        <family val="2"/>
      </rPr>
      <t>미만임</t>
    </r>
  </si>
  <si>
    <r>
      <rPr>
        <b/>
        <sz val="13"/>
        <rFont val="Noto Sans CJK SC"/>
        <family val="2"/>
      </rPr>
      <t xml:space="preserve">전북 </t>
    </r>
    <r>
      <rPr>
        <b/>
        <sz val="13"/>
        <rFont val="Arial"/>
        <family val="2"/>
      </rPr>
      <t>5</t>
    </r>
    <r>
      <rPr>
        <b/>
        <sz val="13"/>
        <rFont val="Noto Sans CJK SC"/>
        <family val="2"/>
      </rPr>
      <t>개시 하수관로 노후도 요약</t>
    </r>
  </si>
  <si>
    <r>
      <rPr>
        <i/>
        <sz val="9"/>
        <color rgb="FF808080"/>
        <rFont val="Noto Sans CJK SC"/>
        <family val="2"/>
      </rPr>
      <t xml:space="preserve">기준연도 </t>
    </r>
    <r>
      <rPr>
        <i/>
        <sz val="9"/>
        <color rgb="FF808080"/>
        <rFont val="Arial"/>
        <family val="2"/>
      </rPr>
      <t>2025</t>
    </r>
    <r>
      <rPr>
        <i/>
        <sz val="9"/>
        <color rgb="FF808080"/>
        <rFont val="Noto Sans CJK SC"/>
        <family val="2"/>
      </rPr>
      <t>년</t>
    </r>
    <r>
      <rPr>
        <i/>
        <sz val="9"/>
        <color rgb="FF808080"/>
        <rFont val="Arial"/>
        <family val="2"/>
      </rPr>
      <t>. "30</t>
    </r>
    <r>
      <rPr>
        <i/>
        <sz val="9"/>
        <color rgb="FF808080"/>
        <rFont val="Noto Sans CJK SC"/>
        <family val="2"/>
      </rPr>
      <t>년 이상 노후관</t>
    </r>
    <r>
      <rPr>
        <i/>
        <sz val="9"/>
        <color rgb="FF808080"/>
        <rFont val="Arial"/>
        <family val="2"/>
      </rPr>
      <t>"</t>
    </r>
    <r>
      <rPr>
        <i/>
        <sz val="9"/>
        <color rgb="FF808080"/>
        <rFont val="Noto Sans CJK SC"/>
        <family val="2"/>
      </rPr>
      <t xml:space="preserve">은 </t>
    </r>
    <r>
      <rPr>
        <i/>
        <sz val="9"/>
        <color rgb="FF808080"/>
        <rFont val="Arial"/>
        <family val="2"/>
      </rPr>
      <t>1996</t>
    </r>
    <r>
      <rPr>
        <i/>
        <sz val="9"/>
        <color rgb="FF808080"/>
        <rFont val="Noto Sans CJK SC"/>
        <family val="2"/>
      </rPr>
      <t>년 이전 설치분</t>
    </r>
    <r>
      <rPr>
        <i/>
        <sz val="9"/>
        <color rgb="FF808080"/>
        <rFont val="Arial"/>
        <family val="2"/>
      </rPr>
      <t>(1996</t>
    </r>
    <r>
      <rPr>
        <i/>
        <sz val="9"/>
        <color rgb="FF808080"/>
        <rFont val="Noto Sans CJK SC"/>
        <family val="2"/>
      </rPr>
      <t>년 포함</t>
    </r>
    <r>
      <rPr>
        <i/>
        <sz val="9"/>
        <color rgb="FF808080"/>
        <rFont val="Arial"/>
        <family val="2"/>
      </rPr>
      <t xml:space="preserve">, </t>
    </r>
    <r>
      <rPr>
        <i/>
        <sz val="9"/>
        <color rgb="FF808080"/>
        <rFont val="Noto Sans CJK SC"/>
        <family val="2"/>
      </rPr>
      <t xml:space="preserve">경과연수 </t>
    </r>
    <r>
      <rPr>
        <i/>
        <sz val="9"/>
        <color rgb="FF808080"/>
        <rFont val="Arial"/>
        <family val="2"/>
      </rPr>
      <t>29</t>
    </r>
    <r>
      <rPr>
        <i/>
        <sz val="9"/>
        <color rgb="FF808080"/>
        <rFont val="Noto Sans CJK SC"/>
        <family val="2"/>
      </rPr>
      <t>년 이상</t>
    </r>
    <r>
      <rPr>
        <i/>
        <sz val="9"/>
        <color rgb="FF808080"/>
        <rFont val="Arial"/>
        <family val="2"/>
      </rPr>
      <t>)</t>
    </r>
    <r>
      <rPr>
        <i/>
        <sz val="9"/>
        <color rgb="FF808080"/>
        <rFont val="Noto Sans CJK SC"/>
        <family val="2"/>
      </rPr>
      <t>으로 정의</t>
    </r>
    <r>
      <rPr>
        <i/>
        <sz val="9"/>
        <color rgb="FF808080"/>
        <rFont val="Arial"/>
        <family val="2"/>
      </rPr>
      <t xml:space="preserve">. </t>
    </r>
    <r>
      <rPr>
        <i/>
        <sz val="9"/>
        <color rgb="FF808080"/>
        <rFont val="Noto Sans CJK SC"/>
        <family val="2"/>
      </rPr>
      <t xml:space="preserve">평균경과연수는 </t>
    </r>
    <r>
      <rPr>
        <i/>
        <sz val="9"/>
        <color rgb="FF808080"/>
        <rFont val="Arial"/>
        <family val="2"/>
      </rPr>
      <t>1996~2025</t>
    </r>
    <r>
      <rPr>
        <i/>
        <sz val="9"/>
        <color rgb="FF808080"/>
        <rFont val="Noto Sans CJK SC"/>
        <family val="2"/>
      </rPr>
      <t>년 설치분만 가중평균</t>
    </r>
    <r>
      <rPr>
        <i/>
        <sz val="9"/>
        <color rgb="FF808080"/>
        <rFont val="Arial"/>
        <family val="2"/>
      </rPr>
      <t>(1996</t>
    </r>
    <r>
      <rPr>
        <i/>
        <sz val="9"/>
        <color rgb="FF808080"/>
        <rFont val="Noto Sans CJK SC"/>
        <family val="2"/>
      </rPr>
      <t>년이전 버킷은 정확한 설치연도 불명으로 제외</t>
    </r>
    <r>
      <rPr>
        <i/>
        <sz val="9"/>
        <color rgb="FF808080"/>
        <rFont val="Arial"/>
        <family val="2"/>
      </rPr>
      <t>).</t>
    </r>
  </si>
  <si>
    <t>시군</t>
  </si>
  <si>
    <r>
      <rPr>
        <b/>
        <sz val="11"/>
        <color rgb="FFFFFFFF"/>
        <rFont val="Noto Sans CJK SC"/>
        <family val="2"/>
      </rPr>
      <t>총연장</t>
    </r>
    <r>
      <rPr>
        <b/>
        <sz val="11"/>
        <color rgb="FFFFFFFF"/>
        <rFont val="Arial"/>
        <family val="2"/>
      </rPr>
      <t>(m)</t>
    </r>
  </si>
  <si>
    <r>
      <rPr>
        <b/>
        <sz val="11"/>
        <color rgb="FFFFFFFF"/>
        <rFont val="Arial"/>
        <family val="2"/>
      </rPr>
      <t>30</t>
    </r>
    <r>
      <rPr>
        <b/>
        <sz val="11"/>
        <color rgb="FFFFFFFF"/>
        <rFont val="Noto Sans CJK SC"/>
        <family val="2"/>
      </rPr>
      <t>년이상 노후연장</t>
    </r>
    <r>
      <rPr>
        <b/>
        <sz val="11"/>
        <color rgb="FFFFFFFF"/>
        <rFont val="Arial"/>
        <family val="2"/>
      </rPr>
      <t>(m)</t>
    </r>
  </si>
  <si>
    <r>
      <rPr>
        <b/>
        <sz val="11"/>
        <color rgb="FFFFFFFF"/>
        <rFont val="Noto Sans CJK SC"/>
        <family val="2"/>
      </rPr>
      <t>노후관 비율</t>
    </r>
    <r>
      <rPr>
        <b/>
        <sz val="11"/>
        <color rgb="FFFFFFFF"/>
        <rFont val="Arial"/>
        <family val="2"/>
      </rPr>
      <t>(%)</t>
    </r>
  </si>
  <si>
    <r>
      <rPr>
        <b/>
        <sz val="11"/>
        <color rgb="FFFFFFFF"/>
        <rFont val="Noto Sans CJK SC"/>
        <family val="2"/>
      </rPr>
      <t>평균경과연수</t>
    </r>
    <r>
      <rPr>
        <b/>
        <sz val="11"/>
        <color rgb="FFFFFFFF"/>
        <rFont val="Arial"/>
        <family val="2"/>
      </rPr>
      <t xml:space="preserve">(1996~2025 </t>
    </r>
    <r>
      <rPr>
        <b/>
        <sz val="11"/>
        <color rgb="FFFFFFFF"/>
        <rFont val="Noto Sans CJK SC"/>
        <family val="2"/>
      </rPr>
      <t>설치분 가중평균</t>
    </r>
    <r>
      <rPr>
        <b/>
        <sz val="11"/>
        <color rgb="FFFFFFFF"/>
        <rFont val="Arial"/>
        <family val="2"/>
      </rPr>
      <t xml:space="preserve">, </t>
    </r>
    <r>
      <rPr>
        <b/>
        <sz val="11"/>
        <color rgb="FFFFFFFF"/>
        <rFont val="Noto Sans CJK SC"/>
        <family val="2"/>
      </rPr>
      <t>년</t>
    </r>
    <r>
      <rPr>
        <b/>
        <sz val="11"/>
        <color rgb="FFFFFFFF"/>
        <rFont val="Arial"/>
        <family val="2"/>
      </rPr>
      <t>)</t>
    </r>
  </si>
  <si>
    <r>
      <rPr>
        <b/>
        <sz val="13"/>
        <rFont val="Arial"/>
        <family val="2"/>
      </rPr>
      <t>roads.csv</t>
    </r>
    <r>
      <rPr>
        <b/>
        <sz val="13"/>
        <rFont val="Noto Sans CJK SC"/>
        <family val="2"/>
      </rPr>
      <t xml:space="preserve">의 </t>
    </r>
    <r>
      <rPr>
        <b/>
        <sz val="13"/>
        <rFont val="Arial"/>
        <family val="2"/>
      </rPr>
      <t>road_name</t>
    </r>
    <r>
      <rPr>
        <b/>
        <sz val="13"/>
        <rFont val="Noto Sans CJK SC"/>
        <family val="2"/>
      </rPr>
      <t>과 하수관로 통계의 시군 매핑</t>
    </r>
  </si>
  <si>
    <r>
      <rPr>
        <i/>
        <sz val="9"/>
        <color rgb="FF808080"/>
        <rFont val="Noto Sans CJK SC"/>
        <family val="2"/>
      </rPr>
      <t xml:space="preserve">팀 데이터의 </t>
    </r>
    <r>
      <rPr>
        <i/>
        <sz val="9"/>
        <color rgb="FF808080"/>
        <rFont val="Arial"/>
        <family val="2"/>
      </rPr>
      <t xml:space="preserve">road_name </t>
    </r>
    <r>
      <rPr>
        <i/>
        <sz val="9"/>
        <color rgb="FF808080"/>
        <rFont val="Noto Sans CJK SC"/>
        <family val="2"/>
      </rPr>
      <t>컬럼값을 그대로 두고</t>
    </r>
    <r>
      <rPr>
        <i/>
        <sz val="9"/>
        <color rgb="FF808080"/>
        <rFont val="Arial"/>
        <family val="2"/>
      </rPr>
      <t xml:space="preserve">, </t>
    </r>
    <r>
      <rPr>
        <i/>
        <sz val="9"/>
        <color rgb="FF808080"/>
        <rFont val="Noto Sans CJK SC"/>
        <family val="2"/>
      </rPr>
      <t xml:space="preserve">이 표를 </t>
    </r>
    <r>
      <rPr>
        <i/>
        <sz val="9"/>
        <color rgb="FF808080"/>
        <rFont val="Arial"/>
        <family val="2"/>
      </rPr>
      <t>VLOOKUP/INDEX-MATCH</t>
    </r>
    <r>
      <rPr>
        <i/>
        <sz val="9"/>
        <color rgb="FF808080"/>
        <rFont val="Noto Sans CJK SC"/>
        <family val="2"/>
      </rPr>
      <t>해서 노후도</t>
    </r>
    <r>
      <rPr>
        <i/>
        <sz val="9"/>
        <color rgb="FF808080"/>
        <rFont val="Arial"/>
        <family val="2"/>
      </rPr>
      <t>_</t>
    </r>
    <r>
      <rPr>
        <i/>
        <sz val="9"/>
        <color rgb="FF808080"/>
        <rFont val="Noto Sans CJK SC"/>
        <family val="2"/>
      </rPr>
      <t>요약 시트 값을 붙이면 됨</t>
    </r>
    <r>
      <rPr>
        <i/>
        <sz val="9"/>
        <color rgb="FF808080"/>
        <rFont val="Arial"/>
        <family val="2"/>
      </rPr>
      <t>.</t>
    </r>
  </si>
  <si>
    <r>
      <rPr>
        <b/>
        <sz val="11"/>
        <color rgb="FFFFFFFF"/>
        <rFont val="Arial"/>
        <family val="2"/>
      </rPr>
      <t xml:space="preserve">road_name (roads.csv </t>
    </r>
    <r>
      <rPr>
        <b/>
        <sz val="11"/>
        <color rgb="FFFFFFFF"/>
        <rFont val="Noto Sans CJK SC"/>
        <family val="2"/>
      </rPr>
      <t>원본값</t>
    </r>
    <r>
      <rPr>
        <b/>
        <sz val="11"/>
        <color rgb="FFFFFFFF"/>
        <rFont val="Arial"/>
        <family val="2"/>
      </rPr>
      <t>)</t>
    </r>
  </si>
  <si>
    <t>매칭 시군</t>
  </si>
  <si>
    <t>전주 데모도로</t>
  </si>
  <si>
    <t>군산 데모도로</t>
  </si>
  <si>
    <t>익산 데모도로</t>
  </si>
  <si>
    <t>남원 데모도로</t>
  </si>
  <si>
    <t>정읍 데모도로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</si>
</sst>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12">
    <font>
      <sz val="11"/>
      <color theme="1"/>
      <name val="Calibri"/>
      <family val="2"/>
      <charset val="1"/>
    </font>
    <font>
      <b/>
      <sz val="13"/>
      <name val="Noto Sans CJK SC"/>
      <family val="2"/>
    </font>
    <font>
      <b/>
      <sz val="13"/>
      <name val="Arial"/>
      <family val="2"/>
    </font>
    <font>
      <i/>
      <sz val="9"/>
      <color rgb="FF808080"/>
      <name val="Arial"/>
      <family val="2"/>
    </font>
    <font>
      <i/>
      <sz val="9"/>
      <color rgb="FF808080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3" fontId="7" fillId="0" borderId="0" xfId="0" applyNumberFormat="1" applyFont="1"/>
    <xf numFmtId="0" fontId="9" fillId="0" borderId="0" xfId="0" applyFont="1"/>
    <xf numFmtId="3" fontId="10" fillId="0" borderId="0" xfId="0" applyNumberFormat="1" applyFont="1"/>
    <xf numFmtId="0" fontId="4" fillId="0" borderId="0" xfId="0" applyFont="1"/>
    <xf numFmtId="3" fontId="3" fillId="0" borderId="0" xfId="0" applyNumberFormat="1" applyFont="1"/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8" fillId="0" borderId="0" xfId="0" applyFont="1"/>
    <xf numFmtId="176" fontId="7" fillId="0" borderId="0" xfId="0" applyNumberFormat="1" applyFont="1"/>
    <xf numFmtId="177" fontId="7" fillId="0" borderId="0" xfId="0" applyNumberFormat="1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/>
  </sheetViews>
  <sheetFormatPr defaultColWidth="8.6328125" defaultRowHeight="14.5"/>
  <cols>
    <col min="1" max="1" width="24" customWidth="1"/>
    <col min="2" max="7" width="16" customWidth="1"/>
  </cols>
  <sheetData>
    <row r="1" spans="1:7" ht="16.5">
      <c r="A1" s="1" t="s">
        <v>0</v>
      </c>
    </row>
    <row r="2" spans="1:7">
      <c r="A2" s="2" t="s">
        <v>1</v>
      </c>
    </row>
    <row r="4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</row>
    <row r="5" spans="1:7">
      <c r="A5" s="5" t="s">
        <v>9</v>
      </c>
      <c r="B5" s="6">
        <v>842.95</v>
      </c>
      <c r="C5" s="6">
        <v>612246.21</v>
      </c>
      <c r="D5" s="6">
        <v>1069912</v>
      </c>
      <c r="E5" s="6">
        <v>260946.8</v>
      </c>
      <c r="F5" s="6">
        <v>326882.92</v>
      </c>
      <c r="G5" s="6">
        <f t="shared" ref="G5:G36" si="0">SUM(B5:F5)</f>
        <v>2270830.88</v>
      </c>
    </row>
    <row r="6" spans="1:7">
      <c r="A6" s="5" t="s">
        <v>10</v>
      </c>
      <c r="B6" s="6">
        <v>0</v>
      </c>
      <c r="C6" s="6">
        <v>0</v>
      </c>
      <c r="D6" s="6">
        <v>0</v>
      </c>
      <c r="E6" s="6">
        <v>27006.799999999999</v>
      </c>
      <c r="F6" s="6">
        <v>0</v>
      </c>
      <c r="G6" s="6">
        <f t="shared" si="0"/>
        <v>27006.799999999999</v>
      </c>
    </row>
    <row r="7" spans="1:7">
      <c r="A7" s="5" t="s">
        <v>11</v>
      </c>
      <c r="B7" s="6">
        <v>0</v>
      </c>
      <c r="C7" s="6">
        <v>0</v>
      </c>
      <c r="D7" s="6">
        <v>0</v>
      </c>
      <c r="E7" s="6">
        <v>14591.5</v>
      </c>
      <c r="F7" s="6">
        <v>0</v>
      </c>
      <c r="G7" s="6">
        <f t="shared" si="0"/>
        <v>14591.5</v>
      </c>
    </row>
    <row r="8" spans="1:7">
      <c r="A8" s="5" t="s">
        <v>12</v>
      </c>
      <c r="B8" s="6">
        <v>0</v>
      </c>
      <c r="C8" s="6">
        <v>39640.660000000003</v>
      </c>
      <c r="D8" s="6">
        <v>0</v>
      </c>
      <c r="E8" s="6">
        <v>1779.8</v>
      </c>
      <c r="F8" s="6">
        <v>0</v>
      </c>
      <c r="G8" s="6">
        <f t="shared" si="0"/>
        <v>41420.460000000006</v>
      </c>
    </row>
    <row r="9" spans="1:7">
      <c r="A9" s="5" t="s">
        <v>13</v>
      </c>
      <c r="B9" s="6">
        <v>0</v>
      </c>
      <c r="C9" s="6">
        <v>0</v>
      </c>
      <c r="D9" s="6">
        <v>0</v>
      </c>
      <c r="E9" s="6">
        <v>6465.1</v>
      </c>
      <c r="F9" s="6">
        <v>0</v>
      </c>
      <c r="G9" s="6">
        <f t="shared" si="0"/>
        <v>6465.1</v>
      </c>
    </row>
    <row r="10" spans="1:7">
      <c r="A10" s="5" t="s">
        <v>14</v>
      </c>
      <c r="B10" s="6">
        <v>0</v>
      </c>
      <c r="C10" s="6">
        <v>8457.89</v>
      </c>
      <c r="D10" s="6">
        <v>0</v>
      </c>
      <c r="E10" s="6">
        <v>4265</v>
      </c>
      <c r="F10" s="6">
        <v>0</v>
      </c>
      <c r="G10" s="6">
        <f t="shared" si="0"/>
        <v>12722.89</v>
      </c>
    </row>
    <row r="11" spans="1:7">
      <c r="A11" s="5" t="s">
        <v>15</v>
      </c>
      <c r="B11" s="6">
        <v>0</v>
      </c>
      <c r="C11" s="6">
        <v>21855.23</v>
      </c>
      <c r="D11" s="6">
        <v>0</v>
      </c>
      <c r="E11" s="6">
        <v>27996.9</v>
      </c>
      <c r="F11" s="6">
        <v>3980.7</v>
      </c>
      <c r="G11" s="6">
        <f t="shared" si="0"/>
        <v>53832.83</v>
      </c>
    </row>
    <row r="12" spans="1:7">
      <c r="A12" s="5" t="s">
        <v>16</v>
      </c>
      <c r="B12" s="6">
        <v>0</v>
      </c>
      <c r="C12" s="6">
        <v>8272.91</v>
      </c>
      <c r="D12" s="6">
        <v>0</v>
      </c>
      <c r="E12" s="6">
        <v>28177.599999999999</v>
      </c>
      <c r="F12" s="6">
        <v>924.64</v>
      </c>
      <c r="G12" s="6">
        <f t="shared" si="0"/>
        <v>37375.149999999994</v>
      </c>
    </row>
    <row r="13" spans="1:7">
      <c r="A13" s="5" t="s">
        <v>17</v>
      </c>
      <c r="B13" s="6">
        <v>0</v>
      </c>
      <c r="C13" s="6">
        <v>38976.89</v>
      </c>
      <c r="D13" s="6">
        <v>0</v>
      </c>
      <c r="E13" s="6">
        <v>5270.3</v>
      </c>
      <c r="F13" s="6">
        <v>0</v>
      </c>
      <c r="G13" s="6">
        <f t="shared" si="0"/>
        <v>44247.19</v>
      </c>
    </row>
    <row r="14" spans="1:7">
      <c r="A14" s="5" t="s">
        <v>18</v>
      </c>
      <c r="B14" s="6">
        <v>0</v>
      </c>
      <c r="C14" s="6">
        <v>60839.17</v>
      </c>
      <c r="D14" s="6">
        <v>0</v>
      </c>
      <c r="E14" s="6">
        <v>12783.1</v>
      </c>
      <c r="F14" s="6">
        <v>12817.18</v>
      </c>
      <c r="G14" s="6">
        <f t="shared" si="0"/>
        <v>86439.450000000012</v>
      </c>
    </row>
    <row r="15" spans="1:7">
      <c r="A15" s="5" t="s">
        <v>19</v>
      </c>
      <c r="B15" s="6">
        <v>0</v>
      </c>
      <c r="C15" s="6">
        <v>114053.1</v>
      </c>
      <c r="D15" s="6">
        <v>0</v>
      </c>
      <c r="E15" s="6">
        <v>8812.1</v>
      </c>
      <c r="F15" s="6">
        <v>9570.7900000000009</v>
      </c>
      <c r="G15" s="6">
        <f t="shared" si="0"/>
        <v>132435.99000000002</v>
      </c>
    </row>
    <row r="16" spans="1:7">
      <c r="A16" s="5" t="s">
        <v>20</v>
      </c>
      <c r="B16" s="6">
        <v>0</v>
      </c>
      <c r="C16" s="6">
        <v>6286.4</v>
      </c>
      <c r="D16" s="6">
        <v>0</v>
      </c>
      <c r="E16" s="6">
        <v>84177.1</v>
      </c>
      <c r="F16" s="6">
        <v>2983.16</v>
      </c>
      <c r="G16" s="6">
        <f t="shared" si="0"/>
        <v>93446.66</v>
      </c>
    </row>
    <row r="17" spans="1:7">
      <c r="A17" s="5" t="s">
        <v>21</v>
      </c>
      <c r="B17" s="6">
        <v>0</v>
      </c>
      <c r="C17" s="6">
        <v>71588.509999999995</v>
      </c>
      <c r="D17" s="6">
        <v>51734</v>
      </c>
      <c r="E17" s="6">
        <v>40185</v>
      </c>
      <c r="F17" s="6">
        <v>530.91</v>
      </c>
      <c r="G17" s="6">
        <f t="shared" si="0"/>
        <v>164038.42000000001</v>
      </c>
    </row>
    <row r="18" spans="1:7">
      <c r="A18" s="5" t="s">
        <v>22</v>
      </c>
      <c r="B18" s="6">
        <v>0</v>
      </c>
      <c r="C18" s="6">
        <v>0</v>
      </c>
      <c r="D18" s="6">
        <v>0</v>
      </c>
      <c r="E18" s="6">
        <v>10261</v>
      </c>
      <c r="F18" s="6">
        <v>12007.64</v>
      </c>
      <c r="G18" s="6">
        <f t="shared" si="0"/>
        <v>22268.639999999999</v>
      </c>
    </row>
    <row r="19" spans="1:7">
      <c r="A19" s="5" t="s">
        <v>23</v>
      </c>
      <c r="B19" s="6">
        <v>51741.07</v>
      </c>
      <c r="C19" s="6">
        <v>0</v>
      </c>
      <c r="D19" s="6">
        <v>0</v>
      </c>
      <c r="E19" s="6">
        <v>4065</v>
      </c>
      <c r="F19" s="6">
        <v>1579.92</v>
      </c>
      <c r="G19" s="6">
        <f t="shared" si="0"/>
        <v>57385.99</v>
      </c>
    </row>
    <row r="20" spans="1:7">
      <c r="A20" s="5" t="s">
        <v>24</v>
      </c>
      <c r="B20" s="6">
        <v>3969.65</v>
      </c>
      <c r="C20" s="6">
        <v>4506.5</v>
      </c>
      <c r="D20" s="6">
        <v>67457</v>
      </c>
      <c r="E20" s="6">
        <v>0</v>
      </c>
      <c r="F20" s="6">
        <v>78676.91</v>
      </c>
      <c r="G20" s="6">
        <f t="shared" si="0"/>
        <v>154610.06</v>
      </c>
    </row>
    <row r="21" spans="1:7">
      <c r="A21" s="5" t="s">
        <v>25</v>
      </c>
      <c r="B21" s="6">
        <v>23278.99</v>
      </c>
      <c r="C21" s="6">
        <v>111861.94</v>
      </c>
      <c r="D21" s="6">
        <v>0</v>
      </c>
      <c r="E21" s="6">
        <v>14946</v>
      </c>
      <c r="F21" s="6">
        <v>1294.22</v>
      </c>
      <c r="G21" s="6">
        <f t="shared" si="0"/>
        <v>151381.15</v>
      </c>
    </row>
    <row r="22" spans="1:7">
      <c r="A22" s="5" t="s">
        <v>26</v>
      </c>
      <c r="B22" s="6">
        <v>35222.199999999997</v>
      </c>
      <c r="C22" s="6">
        <v>1922</v>
      </c>
      <c r="D22" s="6">
        <v>0</v>
      </c>
      <c r="E22" s="6">
        <v>0</v>
      </c>
      <c r="F22" s="6">
        <v>31131.81</v>
      </c>
      <c r="G22" s="6">
        <f t="shared" si="0"/>
        <v>68276.009999999995</v>
      </c>
    </row>
    <row r="23" spans="1:7">
      <c r="A23" s="5" t="s">
        <v>27</v>
      </c>
      <c r="B23" s="6">
        <v>26284.91</v>
      </c>
      <c r="C23" s="6">
        <v>16518.2</v>
      </c>
      <c r="D23" s="6">
        <v>35467</v>
      </c>
      <c r="E23" s="6">
        <v>0</v>
      </c>
      <c r="F23" s="6">
        <v>12131.2</v>
      </c>
      <c r="G23" s="6">
        <f t="shared" si="0"/>
        <v>90401.31</v>
      </c>
    </row>
    <row r="24" spans="1:7">
      <c r="A24" s="5" t="s">
        <v>28</v>
      </c>
      <c r="B24" s="6">
        <v>40828.76</v>
      </c>
      <c r="C24" s="6">
        <v>47349.279999999999</v>
      </c>
      <c r="D24" s="6">
        <v>0</v>
      </c>
      <c r="E24" s="6">
        <v>16467.5</v>
      </c>
      <c r="F24" s="6">
        <v>36489.32</v>
      </c>
      <c r="G24" s="6">
        <f t="shared" si="0"/>
        <v>141134.86000000002</v>
      </c>
    </row>
    <row r="25" spans="1:7">
      <c r="A25" s="5" t="s">
        <v>29</v>
      </c>
      <c r="B25" s="6">
        <v>22396.16</v>
      </c>
      <c r="C25" s="6">
        <v>13292.53</v>
      </c>
      <c r="D25" s="6">
        <v>0</v>
      </c>
      <c r="E25" s="6">
        <v>28013.7</v>
      </c>
      <c r="F25" s="6">
        <v>41639.08</v>
      </c>
      <c r="G25" s="6">
        <f t="shared" si="0"/>
        <v>105341.47</v>
      </c>
    </row>
    <row r="26" spans="1:7">
      <c r="A26" s="5" t="s">
        <v>30</v>
      </c>
      <c r="B26" s="6">
        <v>11080.95</v>
      </c>
      <c r="C26" s="6">
        <v>46703.76</v>
      </c>
      <c r="D26" s="6">
        <v>33700</v>
      </c>
      <c r="E26" s="6">
        <v>6432</v>
      </c>
      <c r="F26" s="6">
        <v>21146.01</v>
      </c>
      <c r="G26" s="6">
        <f t="shared" si="0"/>
        <v>119062.72</v>
      </c>
    </row>
    <row r="27" spans="1:7">
      <c r="A27" s="5" t="s">
        <v>31</v>
      </c>
      <c r="B27" s="6">
        <v>1603031.55</v>
      </c>
      <c r="C27" s="6">
        <v>41276.51</v>
      </c>
      <c r="D27" s="6">
        <v>57100</v>
      </c>
      <c r="E27" s="6">
        <v>16227.7</v>
      </c>
      <c r="F27" s="6">
        <v>43633.7</v>
      </c>
      <c r="G27" s="6">
        <f t="shared" si="0"/>
        <v>1761269.46</v>
      </c>
    </row>
    <row r="28" spans="1:7">
      <c r="A28" s="5" t="s">
        <v>32</v>
      </c>
      <c r="B28" s="6">
        <v>16372.65</v>
      </c>
      <c r="C28" s="6">
        <v>6978.31</v>
      </c>
      <c r="D28" s="6">
        <v>8600</v>
      </c>
      <c r="E28" s="6">
        <v>0</v>
      </c>
      <c r="F28" s="6">
        <v>20769.89</v>
      </c>
      <c r="G28" s="6">
        <f t="shared" si="0"/>
        <v>52720.85</v>
      </c>
    </row>
    <row r="29" spans="1:7">
      <c r="A29" s="5" t="s">
        <v>33</v>
      </c>
      <c r="B29" s="6">
        <v>19707.88</v>
      </c>
      <c r="C29" s="6">
        <v>34254.9</v>
      </c>
      <c r="D29" s="6">
        <v>0</v>
      </c>
      <c r="E29" s="6">
        <v>22568</v>
      </c>
      <c r="F29" s="6">
        <v>82700</v>
      </c>
      <c r="G29" s="6">
        <f t="shared" si="0"/>
        <v>159230.78</v>
      </c>
    </row>
    <row r="30" spans="1:7">
      <c r="A30" s="5" t="s">
        <v>34</v>
      </c>
      <c r="B30" s="6">
        <v>15617.65</v>
      </c>
      <c r="C30" s="6">
        <v>1699</v>
      </c>
      <c r="D30" s="6">
        <v>0</v>
      </c>
      <c r="E30" s="6">
        <v>4169</v>
      </c>
      <c r="F30" s="6">
        <v>15529</v>
      </c>
      <c r="G30" s="6">
        <f t="shared" si="0"/>
        <v>37014.65</v>
      </c>
    </row>
    <row r="31" spans="1:7">
      <c r="A31" s="5" t="s">
        <v>35</v>
      </c>
      <c r="B31" s="6">
        <v>14989</v>
      </c>
      <c r="C31" s="6">
        <v>3947.06</v>
      </c>
      <c r="D31" s="6">
        <v>0</v>
      </c>
      <c r="E31" s="6">
        <v>24581</v>
      </c>
      <c r="F31" s="6">
        <v>4406</v>
      </c>
      <c r="G31" s="6">
        <f t="shared" si="0"/>
        <v>47923.06</v>
      </c>
    </row>
    <row r="32" spans="1:7">
      <c r="A32" s="5" t="s">
        <v>36</v>
      </c>
      <c r="B32" s="6">
        <v>12781.55</v>
      </c>
      <c r="C32" s="6">
        <v>15073.32</v>
      </c>
      <c r="D32" s="6">
        <v>63439</v>
      </c>
      <c r="E32" s="6">
        <v>0</v>
      </c>
      <c r="F32" s="6">
        <v>40942</v>
      </c>
      <c r="G32" s="6">
        <f t="shared" si="0"/>
        <v>132235.87</v>
      </c>
    </row>
    <row r="33" spans="1:7">
      <c r="A33" s="5" t="s">
        <v>37</v>
      </c>
      <c r="B33" s="6">
        <v>56457.08</v>
      </c>
      <c r="C33" s="6">
        <v>33376.949999999997</v>
      </c>
      <c r="D33" s="6">
        <v>9562</v>
      </c>
      <c r="E33" s="6">
        <v>0</v>
      </c>
      <c r="F33" s="6">
        <v>10344</v>
      </c>
      <c r="G33" s="6">
        <f t="shared" si="0"/>
        <v>109740.03</v>
      </c>
    </row>
    <row r="34" spans="1:7">
      <c r="A34" s="5" t="s">
        <v>38</v>
      </c>
      <c r="B34" s="6">
        <v>5230</v>
      </c>
      <c r="C34" s="6">
        <v>2634.2</v>
      </c>
      <c r="D34" s="6">
        <v>6547</v>
      </c>
      <c r="E34" s="6">
        <v>0</v>
      </c>
      <c r="F34" s="6">
        <v>31897</v>
      </c>
      <c r="G34" s="6">
        <f t="shared" si="0"/>
        <v>46308.2</v>
      </c>
    </row>
    <row r="35" spans="1:7">
      <c r="A35" s="5" t="s">
        <v>39</v>
      </c>
      <c r="B35" s="6">
        <v>121873.65</v>
      </c>
      <c r="C35" s="6">
        <v>21190.33</v>
      </c>
      <c r="D35" s="6">
        <v>550</v>
      </c>
      <c r="E35" s="6">
        <v>0</v>
      </c>
      <c r="F35" s="6">
        <v>1500</v>
      </c>
      <c r="G35" s="6">
        <f t="shared" si="0"/>
        <v>145113.97999999998</v>
      </c>
    </row>
    <row r="36" spans="1:7">
      <c r="A36" s="7" t="s">
        <v>40</v>
      </c>
      <c r="B36" s="8">
        <v>2081706.65</v>
      </c>
      <c r="C36" s="8">
        <v>1384801.76</v>
      </c>
      <c r="D36" s="8">
        <v>1404068</v>
      </c>
      <c r="E36" s="8">
        <v>670188</v>
      </c>
      <c r="F36" s="8">
        <v>845508</v>
      </c>
      <c r="G36" s="8">
        <f t="shared" si="0"/>
        <v>6386272.4100000001</v>
      </c>
    </row>
    <row r="37" spans="1:7">
      <c r="A37" s="9" t="s">
        <v>41</v>
      </c>
      <c r="B37" s="10">
        <f>SUM(B5:B35)</f>
        <v>2081706.6499999997</v>
      </c>
      <c r="C37" s="10">
        <f>SUM(C5:C35)</f>
        <v>1384801.7600000002</v>
      </c>
      <c r="D37" s="10">
        <f>SUM(D5:D35)</f>
        <v>1404068</v>
      </c>
      <c r="E37" s="10">
        <f>SUM(E5:E35)</f>
        <v>670187.99999999977</v>
      </c>
      <c r="F37" s="10">
        <f>SUM(F5:F35)</f>
        <v>845507.99999999977</v>
      </c>
    </row>
    <row r="38" spans="1:7">
      <c r="A38" s="9" t="s">
        <v>42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workbookViewId="0"/>
  </sheetViews>
  <sheetFormatPr defaultColWidth="8.6328125" defaultRowHeight="14.5"/>
  <cols>
    <col min="1" max="4" width="20" customWidth="1"/>
    <col min="5" max="5" width="26" customWidth="1"/>
  </cols>
  <sheetData>
    <row r="1" spans="1:5" ht="16.5">
      <c r="A1" s="1" t="s">
        <v>43</v>
      </c>
    </row>
    <row r="2" spans="1:5">
      <c r="A2" s="9" t="s">
        <v>44</v>
      </c>
    </row>
    <row r="4" spans="1:5" ht="28">
      <c r="A4" s="11" t="s">
        <v>45</v>
      </c>
      <c r="B4" s="11" t="s">
        <v>46</v>
      </c>
      <c r="C4" s="12" t="s">
        <v>47</v>
      </c>
      <c r="D4" s="11" t="s">
        <v>48</v>
      </c>
      <c r="E4" s="11" t="s">
        <v>49</v>
      </c>
    </row>
    <row r="5" spans="1:5">
      <c r="A5" s="13" t="s">
        <v>3</v>
      </c>
      <c r="B5" s="6">
        <f>'연도별_순계(m)'!B36</f>
        <v>2081706.65</v>
      </c>
      <c r="C5" s="6">
        <f>'연도별_순계(m)'!B5+'연도별_순계(m)'!B6</f>
        <v>842.95</v>
      </c>
      <c r="D5" s="14">
        <f>C5/B5</f>
        <v>4.0493217428113617E-4</v>
      </c>
      <c r="E5" s="15">
        <f>SUMPRODUCT((2025-VALUE(LEFT('연도별_순계(m)'!A6:A35,4)))*'연도별_순계(m)'!B6:B35)/SUM('연도별_순계(m)'!B6:B35)</f>
        <v>7.7424883955638242</v>
      </c>
    </row>
    <row r="6" spans="1:5">
      <c r="A6" s="13" t="s">
        <v>4</v>
      </c>
      <c r="B6" s="6">
        <f>'연도별_순계(m)'!C36</f>
        <v>1384801.76</v>
      </c>
      <c r="C6" s="6">
        <f>'연도별_순계(m)'!C5+'연도별_순계(m)'!C6</f>
        <v>612246.21</v>
      </c>
      <c r="D6" s="14">
        <f>C6/B6</f>
        <v>0.44211830724420798</v>
      </c>
      <c r="E6" s="15">
        <f>SUMPRODUCT((2025-VALUE(LEFT('연도별_순계(m)'!A6:A35,4)))*'연도별_순계(m)'!C6:C35)/SUM('연도별_순계(m)'!C6:C35)</f>
        <v>14.853572251212228</v>
      </c>
    </row>
    <row r="7" spans="1:5">
      <c r="A7" s="13" t="s">
        <v>5</v>
      </c>
      <c r="B7" s="6">
        <f>'연도별_순계(m)'!D36</f>
        <v>1404068</v>
      </c>
      <c r="C7" s="6">
        <f>'연도별_순계(m)'!D5+'연도별_순계(m)'!D6</f>
        <v>1069912</v>
      </c>
      <c r="D7" s="14">
        <f>C7/B7</f>
        <v>0.76200867764239344</v>
      </c>
      <c r="E7" s="15">
        <f>SUMPRODUCT((2025-VALUE(LEFT('연도별_순계(m)'!A6:A35,4)))*'연도별_순계(m)'!D6:D35)/SUM('연도별_순계(m)'!D6:D35)</f>
        <v>10.189728749446367</v>
      </c>
    </row>
    <row r="8" spans="1:5">
      <c r="A8" s="13" t="s">
        <v>6</v>
      </c>
      <c r="B8" s="6">
        <f>'연도별_순계(m)'!E36</f>
        <v>670188</v>
      </c>
      <c r="C8" s="6">
        <f>'연도별_순계(m)'!E5+'연도별_순계(m)'!E6</f>
        <v>287953.59999999998</v>
      </c>
      <c r="D8" s="14">
        <f>C8/B8</f>
        <v>0.42966093096265523</v>
      </c>
      <c r="E8" s="15">
        <f>SUMPRODUCT((2025-VALUE(LEFT('연도별_순계(m)'!A6:A35,4)))*'연도별_순계(m)'!E6:E35)/SUM('연도별_순계(m)'!E6:E35)</f>
        <v>17.276260308101918</v>
      </c>
    </row>
    <row r="9" spans="1:5">
      <c r="A9" s="13" t="s">
        <v>7</v>
      </c>
      <c r="B9" s="6">
        <f>'연도별_순계(m)'!F36</f>
        <v>845508</v>
      </c>
      <c r="C9" s="6">
        <f>'연도별_순계(m)'!F5+'연도별_순계(m)'!F6</f>
        <v>326882.92</v>
      </c>
      <c r="D9" s="14">
        <f>C9/B9</f>
        <v>0.38661126801875323</v>
      </c>
      <c r="E9" s="15">
        <f>SUMPRODUCT((2025-VALUE(LEFT('연도별_순계(m)'!A6:A35,4)))*'연도별_순계(m)'!F6:F35)/SUM('연도별_순계(m)'!F6:F35)</f>
        <v>9.4307279162048996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/>
  </sheetViews>
  <sheetFormatPr defaultColWidth="8.6328125" defaultRowHeight="14.5"/>
  <cols>
    <col min="1" max="1" width="28" customWidth="1"/>
    <col min="2" max="2" width="16" customWidth="1"/>
  </cols>
  <sheetData>
    <row r="1" spans="1:2" ht="16.5">
      <c r="A1" s="16" t="s">
        <v>50</v>
      </c>
    </row>
    <row r="2" spans="1:2">
      <c r="A2" s="9" t="s">
        <v>51</v>
      </c>
    </row>
    <row r="4" spans="1:2">
      <c r="A4" s="4" t="s">
        <v>52</v>
      </c>
      <c r="B4" s="3" t="s">
        <v>53</v>
      </c>
    </row>
    <row r="5" spans="1:2">
      <c r="A5" s="13" t="s">
        <v>54</v>
      </c>
      <c r="B5" s="13" t="s">
        <v>3</v>
      </c>
    </row>
    <row r="6" spans="1:2">
      <c r="A6" s="13" t="s">
        <v>55</v>
      </c>
      <c r="B6" s="13" t="s">
        <v>4</v>
      </c>
    </row>
    <row r="7" spans="1:2">
      <c r="A7" s="13" t="s">
        <v>56</v>
      </c>
      <c r="B7" s="13" t="s">
        <v>5</v>
      </c>
    </row>
    <row r="8" spans="1:2">
      <c r="A8" s="13" t="s">
        <v>57</v>
      </c>
      <c r="B8" s="13" t="s">
        <v>6</v>
      </c>
    </row>
    <row r="9" spans="1:2">
      <c r="A9" s="13" t="s">
        <v>58</v>
      </c>
      <c r="B9" s="13" t="s">
        <v>7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연도별_순계(m)</vt:lpstr>
      <vt:lpstr>노후도_요약</vt:lpstr>
      <vt:lpstr>road_name_매핑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환서 김</cp:lastModifiedBy>
  <cp:revision>0</cp:revision>
  <dcterms:created xsi:type="dcterms:W3CDTF">2026-08-12T06:16:27Z</dcterms:created>
  <dcterms:modified xsi:type="dcterms:W3CDTF">2026-08-16T07:59:05Z</dcterms:modified>
  <dc:language>en-US</dc:language>
</cp:coreProperties>
</file>